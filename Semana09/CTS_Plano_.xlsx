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8803777e94c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TS" sheetId="1" r:id="R1dfc4ca8e9554f35"/>
  </x:sheets>
</x:workbook>
</file>

<file path=xl/sharedStrings.xml><?xml version="1.0" encoding="utf-8"?>
<x:sst xmlns:x="http://schemas.openxmlformats.org/spreadsheetml/2006/main">
  <x:si>
    <x:t xml:space="preserve">DATOS</x:t>
  </x:si>
  <x:si>
    <x:t xml:space="preserve">Sueldo</x:t>
  </x:si>
  <x:si>
    <x:t xml:space="preserve">Meses trabajados</x:t>
  </x:si>
  <x:si>
    <x:t xml:space="preserve">GRATIFICACIÓN</x:t>
  </x:si>
  <x:si>
    <x:t xml:space="preserve">Gratificación</x:t>
  </x:si>
  <x:si>
    <x:t xml:space="preserve">Bonificación 9%</x:t>
  </x:si>
  <x:si>
    <x:t xml:space="preserve">Gratificación x 9%</x:t>
  </x:si>
  <x:si>
    <x:t xml:space="preserve">CTS</x:t>
  </x:si>
  <x:si>
    <x:t xml:space="preserve">1/6 de la gratificación</x:t>
  </x:si>
  <x:si>
    <x:t xml:space="preserve">Gratificación / 6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</x:si>
</x:sst>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200" formatCode="0.00"/>
  </x:numFmts>
  <x:fonts count="4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/>
      <x:right/>
      <x:top/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200" fontId="0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1ca3f51ee4788" /><Relationship Type="http://schemas.openxmlformats.org/officeDocument/2006/relationships/theme" Target="/xl/theme/theme1.xml" Id="R8f1ec76728eb41e3" /><Relationship Type="http://schemas.openxmlformats.org/officeDocument/2006/relationships/sharedStrings" Target="/xl/sharedStrings.xml" Id="R021f6fa7d9e7486f" /><Relationship Type="http://schemas.openxmlformats.org/officeDocument/2006/relationships/worksheet" Target="/xl/worksheets/sheet1.xml" Id="R1dfc4ca8e9554f3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30" hidden="0" customWidth="1"/>
    <x:col min="2" max="2" width="12" hidden="0" customWidth="1"/>
    <x:col min="3" max="3" width="36" hidden="0" customWidth="1"/>
  </x:cols>
  <x:sheetData>
    <x:row r="1" ht="15" hidden="0">
      <x:c r="A1" t="s">
        <x:v>0</x:v>
      </x:c>
    </x:row>
    <x:row r="2" ht="15" hidden="0">
      <x:c r="A2" t="s">
        <x:v>1</x:v>
      </x:c>
      <x:c r="B2" t="n">
        <x:v>3000</x:v>
      </x:c>
    </x:row>
    <x:row r="3" ht="15" hidden="0">
      <x:c r="A3" t="s">
        <x:v>2</x:v>
      </x:c>
      <x:c r="B3" t="n">
        <x:v>6</x:v>
      </x:c>
    </x:row>
    <x:row r="5" ht="15" hidden="0">
      <x:c r="A5" t="s">
        <x:v>3</x:v>
      </x:c>
    </x:row>
    <x:row r="6" ht="15" hidden="0">
      <x:c r="A6" t="s">
        <x:v>4</x:v>
      </x:c>
      <x:c r="B6" s="1" t="n">
        <x:f aca="0">(B2+B23)*B3/6</x:f>
        <x:v>3123</x:v>
      </x:c>
      <x:c r="C6" t="str">
        <x:v>(Sueldo + asig. familiar) x Meses / 6</x:v>
      </x:c>
    </x:row>
    <x:row r="7" ht="15" hidden="0">
      <x:c r="A7" t="s">
        <x:v>5</x:v>
      </x:c>
      <x:c r="B7" s="1" t="n">
        <x:f aca="0">B6*0.09</x:f>
        <x:v>281.07</x:v>
      </x:c>
      <x:c r="C7" t="s">
        <x:v>6</x:v>
      </x:c>
    </x:row>
    <x:row r="9" ht="15" hidden="0">
      <x:c r="A9" t="s">
        <x:v>7</x:v>
      </x:c>
    </x:row>
    <x:row r="10" ht="15" hidden="0">
      <x:c r="A10" t="s">
        <x:v>8</x:v>
      </x:c>
      <x:c r="B10" s="1" t="n">
        <x:f aca="0">B6/6</x:f>
        <x:v>520.5</x:v>
      </x:c>
      <x:c r="C10" t="s">
        <x:v>9</x:v>
      </x:c>
    </x:row>
    <x:row r="11" ht="15" hidden="0">
      <x:c r="A11" t="str">
        <x:v>Base CTS</x:v>
      </x:c>
      <x:c r="B11" s="1" t="n">
        <x:f aca="0">B2+B23+B10</x:f>
        <x:v>3643.5</x:v>
      </x:c>
      <x:c r="C11" t="str">
        <x:v>Sueldo + asig. familiar + 1/6 grat.</x:v>
      </x:c>
    </x:row>
    <x:row r="12" ht="15" hidden="0">
      <x:c r="A12" t="s">
        <x:v>7</x:v>
      </x:c>
      <x:c r="B12" s="1" t="n">
        <x:f aca="0">B11*B3/12</x:f>
        <x:v>1821.75</x:v>
      </x:c>
      <x:c r="C12" t="str">
        <x:v>Base CTS x Meses / 12</x:v>
      </x:c>
    </x:row>
    <x:row r="14">
      <x:c r="A14" t="str">
        <x:v>CTS CON MESES Y DÍAS</x:v>
      </x:c>
      <x:c r="B14"/>
      <x:c r="C14"/>
    </x:row>
    <x:row r="15">
      <x:c r="A15" t="str">
        <x:v>Meses trabajados</x:v>
      </x:c>
      <x:c r="B15" t="n">
        <x:v>4</x:v>
      </x:c>
      <x:c r="C15"/>
    </x:row>
    <x:row r="16">
      <x:c r="A16" t="str">
        <x:v>Días adicionales</x:v>
      </x:c>
      <x:c r="B16" t="n">
        <x:v>10</x:v>
      </x:c>
      <x:c r="C16"/>
    </x:row>
    <x:row r="17">
      <x:c r="A17" t="str">
        <x:v>CTS por meses</x:v>
      </x:c>
      <x:c r="B17" s="1" t="n">
        <x:f>B11*B15/12</x:f>
        <x:v>1214.5</x:v>
      </x:c>
      <x:c r="C17" t="str">
        <x:v>Base CTS x Meses / 12</x:v>
      </x:c>
    </x:row>
    <x:row r="18">
      <x:c r="A18" t="str">
        <x:v>CTS por días</x:v>
      </x:c>
      <x:c r="B18" s="1" t="n">
        <x:f>B11*B16/360</x:f>
        <x:v>101.20833333333333</x:v>
      </x:c>
      <x:c r="C18" t="str">
        <x:v>Base CTS x Días / 360</x:v>
      </x:c>
    </x:row>
    <x:row r="19">
      <x:c r="A19" t="str">
        <x:v>CTS total</x:v>
      </x:c>
      <x:c r="B19" s="1" t="n">
        <x:f>B17+B18</x:f>
        <x:v>1315.7083333333333</x:v>
      </x:c>
      <x:c r="C19" t="str">
        <x:v>CTS por meses + CTS por días</x:v>
      </x:c>
    </x:row>
    <x:row r="21">
      <x:c r="A21" t="str">
        <x:v>ASIGNACIÓN FAMILIAR</x:v>
      </x:c>
      <x:c r="B21"/>
      <x:c r="C21"/>
    </x:row>
    <x:row r="22">
      <x:c r="A22" t="str">
        <x:v>Remuneración mínima vital</x:v>
      </x:c>
      <x:c r="B22" s="1" t="n">
        <x:v>1230</x:v>
      </x:c>
      <x:c r="C22"/>
    </x:row>
    <x:row r="23">
      <x:c r="A23" t="str">
        <x:v>Asignación familiar</x:v>
      </x:c>
      <x:c r="B23" s="1" t="n">
        <x:f>B22*10%</x:f>
        <x:v>123</x:v>
      </x:c>
      <x:c r="C23" t="str">
        <x:v>RMV x 10%</x:v>
      </x:c>
    </x:row>
  </x:sheetData>
  <x:pageMargins left="0.7" right="0.7" top="0.75" bottom="0.75" header="0.3" footer="0.3"/>
</x:worksheet>
</file>